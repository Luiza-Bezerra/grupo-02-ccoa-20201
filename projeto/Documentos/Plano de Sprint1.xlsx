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D6B0429-E136-46A6-9763-13A6C2EBE7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ANO DE SPRI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" i="1" l="1"/>
  <c r="L10" i="1" s="1"/>
  <c r="F32" i="1"/>
  <c r="L13" i="1" s="1"/>
  <c r="F20" i="1" l="1"/>
  <c r="L12" i="1" s="1"/>
  <c r="F14" i="1"/>
  <c r="L11" i="1" s="1"/>
</calcChain>
</file>

<file path=xl/sharedStrings.xml><?xml version="1.0" encoding="utf-8"?>
<sst xmlns="http://schemas.openxmlformats.org/spreadsheetml/2006/main" count="118" uniqueCount="72">
  <si>
    <t>CONCLUSÃO</t>
  </si>
  <si>
    <t>SPRINT 1</t>
  </si>
  <si>
    <t>PONTO</t>
  </si>
  <si>
    <t>SEMANA</t>
  </si>
  <si>
    <t>Legenda</t>
  </si>
  <si>
    <t>Cor</t>
  </si>
  <si>
    <t>Estado</t>
  </si>
  <si>
    <t>Concluido</t>
  </si>
  <si>
    <t>Não Concluida</t>
  </si>
  <si>
    <t>Pontuação total</t>
  </si>
  <si>
    <t>Incompleta</t>
  </si>
  <si>
    <t>SPRINT YOSHI</t>
  </si>
  <si>
    <t>SPRINT 2</t>
  </si>
  <si>
    <t>SPRINT</t>
  </si>
  <si>
    <t>PONTOS</t>
  </si>
  <si>
    <t>SPRINT 3</t>
  </si>
  <si>
    <t>SPRINT 4</t>
  </si>
  <si>
    <t>SPRINT CÉLIA</t>
  </si>
  <si>
    <t>SPRINT MARISE</t>
  </si>
  <si>
    <t>SPRINT ALEX</t>
  </si>
  <si>
    <t>SPRINT FERNANDO</t>
  </si>
  <si>
    <t>Projeto no Git</t>
  </si>
  <si>
    <t>PONTUAÇÃO</t>
  </si>
  <si>
    <t>Proto-Personas</t>
  </si>
  <si>
    <t>Organização das tarefas</t>
  </si>
  <si>
    <t>Projeto Individual</t>
  </si>
  <si>
    <t>User Stories</t>
  </si>
  <si>
    <t>Backlog</t>
  </si>
  <si>
    <t>Cliente Linux Local</t>
  </si>
  <si>
    <t>Captura de dados de máquina - Python</t>
  </si>
  <si>
    <t>API adaptada ao projeto</t>
  </si>
  <si>
    <t>SUB-SPRINTS</t>
  </si>
  <si>
    <t>SUB-SPRINT 1</t>
  </si>
  <si>
    <t>SUB-SPRINT 2</t>
  </si>
  <si>
    <t>SUB-SPRINT 3</t>
  </si>
  <si>
    <t>SUB-SPRINT 4</t>
  </si>
  <si>
    <t>RESPONSÁVEL</t>
  </si>
  <si>
    <t>LLD</t>
  </si>
  <si>
    <t>Apresentação</t>
  </si>
  <si>
    <t>TAREFAS POR MATÉRIA</t>
  </si>
  <si>
    <t>Plano de Sprint</t>
  </si>
  <si>
    <t>Lean UX Canvas</t>
  </si>
  <si>
    <t>Pesquisa Slack, Telegram e OSHI</t>
  </si>
  <si>
    <t>Protótipo de melhoria para o projeto anterior</t>
  </si>
  <si>
    <t>Protótipo do painel da nova aplicação</t>
  </si>
  <si>
    <t>Consertar Dashboard</t>
  </si>
  <si>
    <t>Passar legado do projeto</t>
  </si>
  <si>
    <t>Produtividade</t>
  </si>
  <si>
    <t>Proto-Persona</t>
  </si>
  <si>
    <t>Todos</t>
  </si>
  <si>
    <t>Gabriel</t>
  </si>
  <si>
    <t>Mario</t>
  </si>
  <si>
    <t>Luiza</t>
  </si>
  <si>
    <t>André</t>
  </si>
  <si>
    <t>EQUIPE</t>
  </si>
  <si>
    <t>NOME</t>
  </si>
  <si>
    <t>RA</t>
  </si>
  <si>
    <t>Willian e André</t>
  </si>
  <si>
    <t>Willian e Thiago</t>
  </si>
  <si>
    <t>André Moura</t>
  </si>
  <si>
    <t>Gabriel Rocha</t>
  </si>
  <si>
    <t>Luiza Bezerra</t>
  </si>
  <si>
    <t xml:space="preserve">Mario Heleno </t>
  </si>
  <si>
    <t>Thiago Pedro</t>
  </si>
  <si>
    <t>Willian Leal</t>
  </si>
  <si>
    <t>Captura de dados de máquina -Python</t>
  </si>
  <si>
    <t>02201002</t>
  </si>
  <si>
    <t>02201026</t>
  </si>
  <si>
    <t>02201032</t>
  </si>
  <si>
    <t>02201050</t>
  </si>
  <si>
    <t>02201064</t>
  </si>
  <si>
    <t>02201037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</si>
</sst>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color rgb="FFFF0000"/>
      <name val="Calibri"/>
    </font>
    <font>
      <b/>
      <sz val="11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</font>
    <font>
      <b/>
      <sz val="12"/>
      <color rgb="FFFF0000"/>
      <name val="Calibri"/>
      <family val="2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1" fillId="4" borderId="1" xfId="0" applyFont="1" applyFill="1" applyBorder="1" applyAlignment="1">
      <alignment vertical="center"/>
    </xf>
    <xf numFmtId="0" fontId="1" fillId="5" borderId="2" xfId="0" applyFont="1" applyFill="1" applyBorder="1"/>
    <xf numFmtId="0" fontId="1" fillId="6" borderId="3" xfId="0" applyFont="1" applyFill="1" applyBorder="1"/>
    <xf numFmtId="0" fontId="1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6" borderId="1" xfId="0" applyFill="1" applyBorder="1"/>
    <xf numFmtId="0" fontId="3" fillId="4" borderId="1" xfId="0" applyFont="1" applyFill="1" applyBorder="1" applyAlignment="1">
      <alignment vertical="center"/>
    </xf>
    <xf numFmtId="0" fontId="8" fillId="7" borderId="18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vertical="center" wrapText="1"/>
    </xf>
    <xf numFmtId="0" fontId="8" fillId="7" borderId="18" xfId="0" applyFont="1" applyFill="1" applyBorder="1" applyAlignment="1">
      <alignment vertical="center" wrapText="1"/>
    </xf>
    <xf numFmtId="0" fontId="8" fillId="7" borderId="16" xfId="0" applyFont="1" applyFill="1" applyBorder="1" applyAlignment="1">
      <alignment horizontal="center" vertical="center"/>
    </xf>
    <xf numFmtId="49" fontId="8" fillId="7" borderId="17" xfId="0" applyNumberFormat="1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49" fontId="8" fillId="7" borderId="19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164" fontId="9" fillId="7" borderId="23" xfId="0" applyNumberFormat="1" applyFont="1" applyFill="1" applyBorder="1" applyAlignment="1">
      <alignment horizontal="center" vertical="center" wrapText="1"/>
    </xf>
    <xf numFmtId="164" fontId="9" fillId="7" borderId="24" xfId="0" applyNumberFormat="1" applyFont="1" applyFill="1" applyBorder="1" applyAlignment="1">
      <alignment horizontal="center" vertical="center" wrapText="1"/>
    </xf>
    <xf numFmtId="164" fontId="9" fillId="7" borderId="20" xfId="0" applyNumberFormat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64" fontId="9" fillId="7" borderId="23" xfId="0" applyNumberFormat="1" applyFont="1" applyFill="1" applyBorder="1" applyAlignment="1">
      <alignment horizontal="center" vertical="center"/>
    </xf>
    <xf numFmtId="164" fontId="9" fillId="7" borderId="24" xfId="0" applyNumberFormat="1" applyFont="1" applyFill="1" applyBorder="1" applyAlignment="1">
      <alignment horizontal="center" vertical="center"/>
    </xf>
    <xf numFmtId="164" fontId="9" fillId="7" borderId="20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PRODUTIVIDADE
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PONTOS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'PLANO DE SPRINT'!$K$10:$K$13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'PLANO DE SPRINT'!$L$10:$L$13</c:f>
              <c:numCache>
                <c:formatCode>General</c:formatCode>
                <c:ptCount val="4"/>
                <c:pt idx="0">
                  <c:v>18</c:v>
                </c:pt>
                <c:pt idx="1">
                  <c:v>24</c:v>
                </c:pt>
                <c:pt idx="2">
                  <c:v>26</c:v>
                </c:pt>
                <c:pt idx="3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CA-47B5-AB8B-72F14B1B47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46422263"/>
        <c:axId val="1846422679"/>
      </c:lineChart>
      <c:catAx>
        <c:axId val="18464222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6422679"/>
        <c:crosses val="autoZero"/>
        <c:auto val="1"/>
        <c:lblAlgn val="ctr"/>
        <c:lblOffset val="100"/>
        <c:noMultiLvlLbl val="0"/>
      </c:catAx>
      <c:valAx>
        <c:axId val="18464226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642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PRODUTIVIDADE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'PLANO DE SPRINT'!$L$9</c:f>
              <c:strCache>
                <c:ptCount val="1"/>
                <c:pt idx="0">
                  <c:v>PONTOS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'PLANO DE SPRINT'!$K$10:$K$13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'PLANO DE SPRINT'!$L$10:$L$13</c:f>
              <c:numCache>
                <c:formatCode>General</c:formatCode>
                <c:ptCount val="4"/>
                <c:pt idx="0">
                  <c:v>18</c:v>
                </c:pt>
                <c:pt idx="1">
                  <c:v>24</c:v>
                </c:pt>
                <c:pt idx="2">
                  <c:v>26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E-470B-AF7D-EE29A4A91B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550891663"/>
        <c:axId val="1579586303"/>
      </c:barChart>
      <c:catAx>
        <c:axId val="15508916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9586303"/>
        <c:crosses val="autoZero"/>
        <c:auto val="1"/>
        <c:lblAlgn val="ctr"/>
        <c:lblOffset val="100"/>
        <c:noMultiLvlLbl val="0"/>
      </c:catAx>
      <c:valAx>
        <c:axId val="15795863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089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GRÁFICO PRODUTIVIDADE
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v>PONTOS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3E-41C5-8BFA-FAAC520F24B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3E-41C5-8BFA-FAAC520F24B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3E-41C5-8BFA-FAAC520F24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3E-41C5-8BFA-FAAC520F24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'PLANO DE SPRINT'!$K$10:$K$13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'PLANO DE SPRINT'!$L$10:$L$13</c:f>
              <c:numCache>
                <c:formatCode>General</c:formatCode>
                <c:ptCount val="4"/>
                <c:pt idx="0">
                  <c:v>18</c:v>
                </c:pt>
                <c:pt idx="1">
                  <c:v>24</c:v>
                </c:pt>
                <c:pt idx="2">
                  <c:v>26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A-4BC6-A31D-2AB8CA786E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PRODUTIVIDADE
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PONTOS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'PLANO DE SPRINT'!$K$10:$K$13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'PLANO DE SPRINT'!$L$10:$L$13</c:f>
              <c:numCache>
                <c:formatCode>General</c:formatCode>
                <c:ptCount val="4"/>
                <c:pt idx="0">
                  <c:v>18</c:v>
                </c:pt>
                <c:pt idx="1">
                  <c:v>24</c:v>
                </c:pt>
                <c:pt idx="2">
                  <c:v>26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4-477F-803D-93BAB2F9F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1846422263"/>
        <c:axId val="1846422679"/>
      </c:barChart>
      <c:catAx>
        <c:axId val="18464222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6422679"/>
        <c:crosses val="autoZero"/>
        <c:auto val="1"/>
        <c:lblAlgn val="ctr"/>
        <c:lblOffset val="100"/>
        <c:noMultiLvlLbl val="0"/>
      </c:catAx>
      <c:valAx>
        <c:axId val="18464226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642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190500</xdr:rowOff>
    </xdr:from>
    <xdr:to>
      <xdr:col>28</xdr:col>
      <xdr:colOff>9525</xdr:colOff>
      <xdr:row>23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21A80B-24F5-4E53-98E4-74E4423E1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9525</xdr:colOff>
      <xdr:row>1</xdr:row>
      <xdr:rowOff>9524</xdr:rowOff>
    </xdr:from>
    <xdr:to>
      <xdr:col>43</xdr:col>
      <xdr:colOff>28575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507F75-22AD-4B56-BD49-AD65AFC7E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24</xdr:row>
      <xdr:rowOff>0</xdr:rowOff>
    </xdr:from>
    <xdr:to>
      <xdr:col>28</xdr:col>
      <xdr:colOff>0</xdr:colOff>
      <xdr:row>48</xdr:row>
      <xdr:rowOff>132484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7EE09D6E-F55A-40E6-B245-A3093BC23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24</xdr:row>
      <xdr:rowOff>0</xdr:rowOff>
    </xdr:from>
    <xdr:to>
      <xdr:col>43</xdr:col>
      <xdr:colOff>0</xdr:colOff>
      <xdr:row>48</xdr:row>
      <xdr:rowOff>129428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BD6FFB00-B8D0-4A71-8D07-8B0E19AB5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="85" zoomScaleNormal="85" workbookViewId="0">
      <selection activeCell="L19" sqref="L19"/>
    </sheetView>
  </sheetViews>
  <sheetFormatPr defaultRowHeight="15" x14ac:dyDescent="0.25"/>
  <cols>
    <col min="2" max="2" width="35.85546875" bestFit="1" customWidth="1"/>
    <col min="3" max="3" width="13.7109375" bestFit="1" customWidth="1"/>
    <col min="4" max="4" width="9.7109375" customWidth="1"/>
    <col min="5" max="5" width="31.5703125" customWidth="1"/>
    <col min="6" max="6" width="15.140625" customWidth="1"/>
    <col min="7" max="7" width="15.85546875" bestFit="1" customWidth="1"/>
    <col min="8" max="8" width="13.140625" bestFit="1" customWidth="1"/>
    <col min="9" max="9" width="15.140625" bestFit="1" customWidth="1"/>
    <col min="11" max="11" width="13.5703125" bestFit="1" customWidth="1"/>
    <col min="12" max="12" width="14" bestFit="1" customWidth="1"/>
    <col min="13" max="13" width="8.85546875" customWidth="1"/>
    <col min="14" max="14" width="14" bestFit="1" customWidth="1"/>
    <col min="15" max="15" width="9.140625" customWidth="1"/>
  </cols>
  <sheetData>
    <row r="1" spans="1:13" ht="15.75" thickBot="1" x14ac:dyDescent="0.3">
      <c r="A1" s="2"/>
      <c r="B1" s="47" t="s">
        <v>39</v>
      </c>
      <c r="C1" s="48"/>
      <c r="D1" s="3"/>
      <c r="E1" s="54" t="s">
        <v>31</v>
      </c>
      <c r="F1" s="55"/>
      <c r="G1" s="55"/>
      <c r="H1" s="55"/>
      <c r="I1" s="56"/>
      <c r="J1" s="3"/>
      <c r="K1" s="3"/>
      <c r="L1" s="2"/>
      <c r="M1" s="2"/>
    </row>
    <row r="2" spans="1:13" ht="16.5" thickBot="1" x14ac:dyDescent="0.3">
      <c r="A2" s="2"/>
      <c r="B2" s="49"/>
      <c r="C2" s="50"/>
      <c r="D2" s="7"/>
      <c r="E2" s="57"/>
      <c r="F2" s="58"/>
      <c r="G2" s="58"/>
      <c r="H2" s="58"/>
      <c r="I2" s="59"/>
      <c r="J2" s="4"/>
      <c r="K2" s="62" t="s">
        <v>4</v>
      </c>
      <c r="L2" s="63"/>
      <c r="M2" s="2"/>
    </row>
    <row r="3" spans="1:13" ht="16.5" thickBot="1" x14ac:dyDescent="0.3">
      <c r="A3" s="2"/>
      <c r="D3" s="6"/>
      <c r="J3" s="3"/>
      <c r="K3" s="43" t="s">
        <v>5</v>
      </c>
      <c r="L3" s="44" t="s">
        <v>6</v>
      </c>
      <c r="M3" s="2"/>
    </row>
    <row r="4" spans="1:13" ht="15.75" x14ac:dyDescent="0.25">
      <c r="A4" s="2"/>
      <c r="B4" s="10" t="s">
        <v>20</v>
      </c>
      <c r="C4" s="11" t="s">
        <v>22</v>
      </c>
      <c r="D4" s="6"/>
      <c r="E4" s="12" t="s">
        <v>32</v>
      </c>
      <c r="F4" s="14" t="s">
        <v>2</v>
      </c>
      <c r="G4" s="14" t="s">
        <v>36</v>
      </c>
      <c r="H4" s="14" t="s">
        <v>0</v>
      </c>
      <c r="I4" s="13" t="s">
        <v>3</v>
      </c>
      <c r="J4" s="3"/>
      <c r="K4" s="19"/>
      <c r="L4" s="42" t="s">
        <v>7</v>
      </c>
      <c r="M4" s="2"/>
    </row>
    <row r="5" spans="1:13" ht="15.75" x14ac:dyDescent="0.25">
      <c r="A5" s="2"/>
      <c r="B5" s="29" t="s">
        <v>46</v>
      </c>
      <c r="C5" s="30">
        <v>5</v>
      </c>
      <c r="D5" s="6"/>
      <c r="E5" s="29" t="s">
        <v>46</v>
      </c>
      <c r="F5" s="28">
        <v>5</v>
      </c>
      <c r="G5" s="28" t="s">
        <v>57</v>
      </c>
      <c r="H5" s="20"/>
      <c r="I5" s="51">
        <v>44092</v>
      </c>
      <c r="J5" s="3"/>
      <c r="K5" s="21"/>
      <c r="L5" s="42" t="s">
        <v>8</v>
      </c>
      <c r="M5" s="2"/>
    </row>
    <row r="6" spans="1:13" ht="16.5" thickBot="1" x14ac:dyDescent="0.3">
      <c r="A6" s="2"/>
      <c r="B6" s="29" t="s">
        <v>21</v>
      </c>
      <c r="C6" s="30">
        <v>5</v>
      </c>
      <c r="D6" s="6"/>
      <c r="E6" s="29" t="s">
        <v>21</v>
      </c>
      <c r="F6" s="28">
        <v>5</v>
      </c>
      <c r="G6" s="28" t="s">
        <v>53</v>
      </c>
      <c r="H6" s="20"/>
      <c r="I6" s="52"/>
      <c r="J6" s="4"/>
      <c r="K6" s="22"/>
      <c r="L6" s="41" t="s">
        <v>10</v>
      </c>
      <c r="M6" s="2"/>
    </row>
    <row r="7" spans="1:13" ht="16.5" thickBot="1" x14ac:dyDescent="0.3">
      <c r="A7" s="2"/>
      <c r="B7" s="29" t="s">
        <v>23</v>
      </c>
      <c r="C7" s="30">
        <v>8</v>
      </c>
      <c r="D7" s="7"/>
      <c r="E7" s="29" t="s">
        <v>24</v>
      </c>
      <c r="F7" s="28">
        <v>8</v>
      </c>
      <c r="G7" s="28" t="s">
        <v>49</v>
      </c>
      <c r="H7" s="20"/>
      <c r="I7" s="53"/>
      <c r="J7" s="5"/>
      <c r="M7" s="2"/>
    </row>
    <row r="8" spans="1:13" ht="16.5" thickBot="1" x14ac:dyDescent="0.3">
      <c r="A8" s="2"/>
      <c r="B8" s="29" t="s">
        <v>37</v>
      </c>
      <c r="C8" s="30">
        <v>8</v>
      </c>
      <c r="D8" s="6"/>
      <c r="E8" s="69" t="s">
        <v>9</v>
      </c>
      <c r="F8" s="70">
        <f>SUM(F5:F7)</f>
        <v>18</v>
      </c>
      <c r="G8" s="70"/>
      <c r="H8" s="70"/>
      <c r="I8" s="71"/>
      <c r="J8" s="3"/>
      <c r="K8" s="60" t="s">
        <v>47</v>
      </c>
      <c r="L8" s="61"/>
    </row>
    <row r="9" spans="1:13" ht="16.5" thickBot="1" x14ac:dyDescent="0.3">
      <c r="A9" s="2"/>
      <c r="B9" s="29" t="s">
        <v>24</v>
      </c>
      <c r="C9" s="30">
        <v>8</v>
      </c>
      <c r="D9" s="6"/>
      <c r="J9" s="3"/>
      <c r="K9" s="46" t="s">
        <v>13</v>
      </c>
      <c r="L9" s="45" t="s">
        <v>14</v>
      </c>
    </row>
    <row r="10" spans="1:13" ht="15.75" x14ac:dyDescent="0.25">
      <c r="A10" s="2"/>
      <c r="B10" s="29" t="s">
        <v>38</v>
      </c>
      <c r="C10" s="30">
        <v>13</v>
      </c>
      <c r="D10" s="7"/>
      <c r="E10" s="12" t="s">
        <v>33</v>
      </c>
      <c r="F10" s="15" t="s">
        <v>2</v>
      </c>
      <c r="G10" s="14" t="s">
        <v>36</v>
      </c>
      <c r="H10" s="15" t="s">
        <v>0</v>
      </c>
      <c r="I10" s="16" t="s">
        <v>3</v>
      </c>
      <c r="J10" s="3"/>
      <c r="K10" s="38" t="s">
        <v>1</v>
      </c>
      <c r="L10" s="39">
        <f>F8</f>
        <v>18</v>
      </c>
    </row>
    <row r="11" spans="1:13" ht="15.75" x14ac:dyDescent="0.25">
      <c r="A11" s="2"/>
      <c r="B11" s="29" t="s">
        <v>40</v>
      </c>
      <c r="C11" s="30">
        <v>13</v>
      </c>
      <c r="D11" s="6"/>
      <c r="E11" s="29" t="s">
        <v>26</v>
      </c>
      <c r="F11" s="28">
        <v>8</v>
      </c>
      <c r="G11" s="28" t="s">
        <v>49</v>
      </c>
      <c r="H11" s="20"/>
      <c r="I11" s="64">
        <v>44068</v>
      </c>
      <c r="J11" s="3"/>
      <c r="K11" s="38" t="s">
        <v>12</v>
      </c>
      <c r="L11" s="39">
        <f>F14</f>
        <v>24</v>
      </c>
    </row>
    <row r="12" spans="1:13" ht="16.5" thickBot="1" x14ac:dyDescent="0.3">
      <c r="A12" s="2"/>
      <c r="B12" s="27" t="s">
        <v>42</v>
      </c>
      <c r="C12" s="31">
        <v>13</v>
      </c>
      <c r="D12" s="6"/>
      <c r="E12" s="29" t="s">
        <v>27</v>
      </c>
      <c r="F12" s="28">
        <v>8</v>
      </c>
      <c r="G12" s="28" t="s">
        <v>49</v>
      </c>
      <c r="H12" s="20"/>
      <c r="I12" s="65"/>
      <c r="J12" s="3"/>
      <c r="K12" s="38" t="s">
        <v>15</v>
      </c>
      <c r="L12" s="39">
        <f>F20</f>
        <v>26</v>
      </c>
    </row>
    <row r="13" spans="1:13" ht="16.5" thickBot="1" x14ac:dyDescent="0.3">
      <c r="A13" s="2"/>
      <c r="B13" s="3"/>
      <c r="C13" s="4"/>
      <c r="D13" s="6"/>
      <c r="E13" s="32" t="s">
        <v>48</v>
      </c>
      <c r="F13" s="28">
        <v>8</v>
      </c>
      <c r="G13" s="28" t="s">
        <v>49</v>
      </c>
      <c r="H13" s="20"/>
      <c r="I13" s="66"/>
      <c r="J13" s="3"/>
      <c r="K13" s="40" t="s">
        <v>16</v>
      </c>
      <c r="L13" s="41">
        <f>F32</f>
        <v>102</v>
      </c>
    </row>
    <row r="14" spans="1:13" ht="16.5" thickBot="1" x14ac:dyDescent="0.3">
      <c r="A14" s="2"/>
      <c r="B14" s="12" t="s">
        <v>11</v>
      </c>
      <c r="C14" s="13" t="s">
        <v>22</v>
      </c>
      <c r="D14" s="6"/>
      <c r="E14" s="69" t="s">
        <v>9</v>
      </c>
      <c r="F14" s="70">
        <f>SUM(F11:F13)</f>
        <v>24</v>
      </c>
      <c r="G14" s="70"/>
      <c r="H14" s="70"/>
      <c r="I14" s="71"/>
      <c r="J14" s="3"/>
      <c r="K14" s="3"/>
      <c r="L14" s="2"/>
      <c r="M14" s="2"/>
    </row>
    <row r="15" spans="1:13" ht="16.5" thickBot="1" x14ac:dyDescent="0.3">
      <c r="A15" s="2"/>
      <c r="B15" s="32" t="s">
        <v>25</v>
      </c>
      <c r="C15" s="30">
        <v>13</v>
      </c>
      <c r="D15" s="7"/>
      <c r="J15" s="3"/>
      <c r="K15" s="67" t="s">
        <v>54</v>
      </c>
      <c r="L15" s="68"/>
      <c r="M15" s="2"/>
    </row>
    <row r="16" spans="1:13" ht="31.5" x14ac:dyDescent="0.25">
      <c r="A16" s="2"/>
      <c r="B16" s="32" t="s">
        <v>43</v>
      </c>
      <c r="C16" s="30">
        <v>13</v>
      </c>
      <c r="D16" s="6"/>
      <c r="E16" s="12" t="s">
        <v>34</v>
      </c>
      <c r="F16" s="15" t="s">
        <v>2</v>
      </c>
      <c r="G16" s="14" t="s">
        <v>36</v>
      </c>
      <c r="H16" s="15" t="s">
        <v>0</v>
      </c>
      <c r="I16" s="16" t="s">
        <v>3</v>
      </c>
      <c r="J16" s="3"/>
      <c r="K16" s="17" t="s">
        <v>55</v>
      </c>
      <c r="L16" s="18" t="s">
        <v>56</v>
      </c>
      <c r="M16" s="2"/>
    </row>
    <row r="17" spans="1:13" ht="31.5" x14ac:dyDescent="0.25">
      <c r="A17" s="2"/>
      <c r="B17" s="32" t="s">
        <v>44</v>
      </c>
      <c r="C17" s="30">
        <v>8</v>
      </c>
      <c r="D17" s="6"/>
      <c r="E17" s="32" t="s">
        <v>25</v>
      </c>
      <c r="F17" s="28">
        <v>13</v>
      </c>
      <c r="G17" s="28" t="s">
        <v>49</v>
      </c>
      <c r="H17" s="26"/>
      <c r="I17" s="64">
        <v>44075</v>
      </c>
      <c r="J17" s="3"/>
      <c r="K17" s="34" t="s">
        <v>59</v>
      </c>
      <c r="L17" s="35" t="s">
        <v>66</v>
      </c>
      <c r="M17" s="2"/>
    </row>
    <row r="18" spans="1:13" ht="16.5" thickBot="1" x14ac:dyDescent="0.3">
      <c r="A18" s="2"/>
      <c r="B18" s="33" t="s">
        <v>45</v>
      </c>
      <c r="C18" s="31">
        <v>8</v>
      </c>
      <c r="D18" s="7"/>
      <c r="E18" s="29" t="s">
        <v>28</v>
      </c>
      <c r="F18" s="28">
        <v>5</v>
      </c>
      <c r="G18" s="28" t="s">
        <v>49</v>
      </c>
      <c r="H18" s="20"/>
      <c r="I18" s="65"/>
      <c r="J18" s="3"/>
      <c r="K18" s="34" t="s">
        <v>60</v>
      </c>
      <c r="L18" s="35" t="s">
        <v>71</v>
      </c>
      <c r="M18" s="2"/>
    </row>
    <row r="19" spans="1:13" ht="32.25" thickBot="1" x14ac:dyDescent="0.3">
      <c r="A19" s="2"/>
      <c r="B19" s="3"/>
      <c r="C19" s="4"/>
      <c r="D19" s="6"/>
      <c r="E19" s="32" t="s">
        <v>65</v>
      </c>
      <c r="F19" s="28">
        <v>8</v>
      </c>
      <c r="G19" s="28" t="s">
        <v>49</v>
      </c>
      <c r="H19" s="20"/>
      <c r="I19" s="66"/>
      <c r="J19" s="3"/>
      <c r="K19" s="34" t="s">
        <v>61</v>
      </c>
      <c r="L19" s="35" t="s">
        <v>70</v>
      </c>
      <c r="M19" s="2"/>
    </row>
    <row r="20" spans="1:13" ht="16.5" thickBot="1" x14ac:dyDescent="0.3">
      <c r="A20" s="2"/>
      <c r="B20" s="12" t="s">
        <v>19</v>
      </c>
      <c r="C20" s="13" t="s">
        <v>22</v>
      </c>
      <c r="D20" s="6"/>
      <c r="E20" s="69" t="s">
        <v>9</v>
      </c>
      <c r="F20" s="70">
        <f>SUM(F17:F19)</f>
        <v>26</v>
      </c>
      <c r="G20" s="70"/>
      <c r="H20" s="70"/>
      <c r="I20" s="71"/>
      <c r="J20" s="3"/>
      <c r="K20" s="34" t="s">
        <v>62</v>
      </c>
      <c r="L20" s="35" t="s">
        <v>68</v>
      </c>
      <c r="M20" s="2"/>
    </row>
    <row r="21" spans="1:13" ht="16.5" thickBot="1" x14ac:dyDescent="0.3">
      <c r="A21" s="2"/>
      <c r="B21" s="29" t="s">
        <v>26</v>
      </c>
      <c r="C21" s="30">
        <v>8</v>
      </c>
      <c r="D21" s="6"/>
      <c r="E21" s="3"/>
      <c r="F21" s="4"/>
      <c r="G21" s="4"/>
      <c r="H21" s="3"/>
      <c r="I21" s="3"/>
      <c r="J21" s="3"/>
      <c r="K21" s="34" t="s">
        <v>63</v>
      </c>
      <c r="L21" s="35" t="s">
        <v>69</v>
      </c>
      <c r="M21" s="2"/>
    </row>
    <row r="22" spans="1:13" ht="16.5" thickBot="1" x14ac:dyDescent="0.3">
      <c r="A22" s="2"/>
      <c r="B22" s="29" t="s">
        <v>41</v>
      </c>
      <c r="C22" s="30">
        <v>13</v>
      </c>
      <c r="D22" s="8"/>
      <c r="E22" s="12" t="s">
        <v>35</v>
      </c>
      <c r="F22" s="15" t="s">
        <v>2</v>
      </c>
      <c r="G22" s="14" t="s">
        <v>36</v>
      </c>
      <c r="H22" s="15" t="s">
        <v>0</v>
      </c>
      <c r="I22" s="16" t="s">
        <v>3</v>
      </c>
      <c r="J22" s="3"/>
      <c r="K22" s="36" t="s">
        <v>64</v>
      </c>
      <c r="L22" s="37" t="s">
        <v>67</v>
      </c>
      <c r="M22" s="2"/>
    </row>
    <row r="23" spans="1:13" ht="16.5" thickBot="1" x14ac:dyDescent="0.3">
      <c r="A23" s="2"/>
      <c r="B23" s="27" t="s">
        <v>27</v>
      </c>
      <c r="C23" s="31">
        <v>8</v>
      </c>
      <c r="D23" s="9"/>
      <c r="E23" s="29" t="s">
        <v>37</v>
      </c>
      <c r="F23" s="28">
        <v>8</v>
      </c>
      <c r="G23" s="28" t="s">
        <v>50</v>
      </c>
      <c r="H23" s="24"/>
      <c r="I23" s="64">
        <v>44082</v>
      </c>
      <c r="J23" s="3"/>
      <c r="K23" s="3"/>
      <c r="L23" s="2"/>
      <c r="M23" s="2"/>
    </row>
    <row r="24" spans="1:13" ht="16.5" thickBot="1" x14ac:dyDescent="0.3">
      <c r="A24" s="2"/>
      <c r="B24" s="3"/>
      <c r="C24" s="4"/>
      <c r="D24" s="3"/>
      <c r="E24" s="29" t="s">
        <v>45</v>
      </c>
      <c r="F24" s="28">
        <v>8</v>
      </c>
      <c r="G24" s="28" t="s">
        <v>49</v>
      </c>
      <c r="H24" s="26"/>
      <c r="I24" s="65"/>
      <c r="J24" s="3"/>
      <c r="K24" s="3"/>
      <c r="L24" s="2"/>
      <c r="M24" s="2"/>
    </row>
    <row r="25" spans="1:13" ht="15.75" x14ac:dyDescent="0.25">
      <c r="A25" s="2"/>
      <c r="B25" s="12" t="s">
        <v>17</v>
      </c>
      <c r="C25" s="13" t="s">
        <v>22</v>
      </c>
      <c r="D25" s="3"/>
      <c r="E25" s="32" t="s">
        <v>30</v>
      </c>
      <c r="F25" s="28">
        <v>13</v>
      </c>
      <c r="G25" s="28" t="s">
        <v>49</v>
      </c>
      <c r="H25" s="24"/>
      <c r="I25" s="65"/>
      <c r="J25" s="3"/>
      <c r="K25" s="3"/>
      <c r="L25" s="2"/>
      <c r="M25" s="2"/>
    </row>
    <row r="26" spans="1:13" ht="16.5" thickBot="1" x14ac:dyDescent="0.3">
      <c r="A26" s="2"/>
      <c r="B26" s="27" t="s">
        <v>28</v>
      </c>
      <c r="C26" s="31">
        <v>5</v>
      </c>
      <c r="D26" s="1"/>
      <c r="E26" s="29" t="s">
        <v>38</v>
      </c>
      <c r="F26" s="28">
        <v>13</v>
      </c>
      <c r="G26" s="28" t="s">
        <v>58</v>
      </c>
      <c r="H26" s="23"/>
      <c r="I26" s="65"/>
      <c r="J26" s="3"/>
      <c r="K26" s="3"/>
      <c r="L26" s="2"/>
      <c r="M26" s="2"/>
    </row>
    <row r="27" spans="1:13" ht="16.5" customHeight="1" thickBot="1" x14ac:dyDescent="0.3">
      <c r="A27" s="2"/>
      <c r="B27" s="3"/>
      <c r="C27" s="4"/>
      <c r="D27" s="1"/>
      <c r="E27" s="29" t="s">
        <v>40</v>
      </c>
      <c r="F27" s="28">
        <v>13</v>
      </c>
      <c r="G27" s="28" t="s">
        <v>51</v>
      </c>
      <c r="H27" s="20"/>
      <c r="I27" s="65"/>
      <c r="J27" s="3"/>
      <c r="K27" s="3"/>
      <c r="L27" s="2"/>
      <c r="M27" s="2"/>
    </row>
    <row r="28" spans="1:13" ht="15.75" x14ac:dyDescent="0.25">
      <c r="A28" s="2"/>
      <c r="B28" s="12" t="s">
        <v>18</v>
      </c>
      <c r="C28" s="13" t="s">
        <v>22</v>
      </c>
      <c r="E28" s="29" t="s">
        <v>42</v>
      </c>
      <c r="F28" s="28">
        <v>13</v>
      </c>
      <c r="G28" s="28" t="s">
        <v>49</v>
      </c>
      <c r="H28" s="25"/>
      <c r="I28" s="65"/>
      <c r="J28" s="3"/>
      <c r="K28" s="3"/>
      <c r="L28" s="2"/>
      <c r="M28" s="2"/>
    </row>
    <row r="29" spans="1:13" ht="31.5" x14ac:dyDescent="0.25">
      <c r="B29" s="32" t="s">
        <v>29</v>
      </c>
      <c r="C29" s="30">
        <v>8</v>
      </c>
      <c r="E29" s="29" t="s">
        <v>41</v>
      </c>
      <c r="F29" s="28">
        <v>13</v>
      </c>
      <c r="G29" s="28" t="s">
        <v>53</v>
      </c>
      <c r="H29" s="25"/>
      <c r="I29" s="65"/>
      <c r="J29" s="1"/>
      <c r="K29" s="1"/>
    </row>
    <row r="30" spans="1:13" ht="32.25" thickBot="1" x14ac:dyDescent="0.3">
      <c r="B30" s="33" t="s">
        <v>30</v>
      </c>
      <c r="C30" s="31">
        <v>13</v>
      </c>
      <c r="E30" s="32" t="s">
        <v>44</v>
      </c>
      <c r="F30" s="28">
        <v>8</v>
      </c>
      <c r="G30" s="28" t="s">
        <v>52</v>
      </c>
      <c r="H30" s="25"/>
      <c r="I30" s="65"/>
      <c r="J30" s="1"/>
      <c r="K30" s="1"/>
    </row>
    <row r="31" spans="1:13" ht="31.5" x14ac:dyDescent="0.25">
      <c r="E31" s="32" t="s">
        <v>43</v>
      </c>
      <c r="F31" s="28">
        <v>13</v>
      </c>
      <c r="G31" s="28" t="s">
        <v>52</v>
      </c>
      <c r="H31" s="23"/>
      <c r="I31" s="66"/>
    </row>
    <row r="32" spans="1:13" ht="16.5" thickBot="1" x14ac:dyDescent="0.3">
      <c r="E32" s="69" t="s">
        <v>9</v>
      </c>
      <c r="F32" s="70">
        <f>SUM(F23:F31)</f>
        <v>102</v>
      </c>
      <c r="G32" s="70"/>
      <c r="H32" s="70"/>
      <c r="I32" s="71"/>
    </row>
    <row r="33" spans="2:3" x14ac:dyDescent="0.25">
      <c r="B33" s="1"/>
      <c r="C33" s="1"/>
    </row>
    <row r="34" spans="2:3" x14ac:dyDescent="0.25">
      <c r="B34" s="1"/>
      <c r="C34" s="1"/>
    </row>
  </sheetData>
  <sortState xmlns:xlrd2="http://schemas.microsoft.com/office/spreadsheetml/2017/richdata2" ref="E32:I37">
    <sortCondition ref="G32:G37"/>
  </sortState>
  <mergeCells count="13">
    <mergeCell ref="K8:L8"/>
    <mergeCell ref="K2:L2"/>
    <mergeCell ref="F20:I20"/>
    <mergeCell ref="I23:I31"/>
    <mergeCell ref="I17:I19"/>
    <mergeCell ref="I11:I13"/>
    <mergeCell ref="K15:L15"/>
    <mergeCell ref="F32:I32"/>
    <mergeCell ref="F8:I8"/>
    <mergeCell ref="F14:I14"/>
    <mergeCell ref="B1:C2"/>
    <mergeCell ref="I5:I7"/>
    <mergeCell ref="E1:I2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SPRINT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</dc:creator>
  <cp:keywords/>
  <dc:description/>
  <cp:lastModifiedBy>user</cp:lastModifiedBy>
  <cp:revision/>
  <dcterms:created xsi:type="dcterms:W3CDTF">2020-06-03T17:47:19Z</dcterms:created>
  <dcterms:modified xsi:type="dcterms:W3CDTF">2020-09-11T14:47:54Z</dcterms:modified>
  <cp:category/>
  <cp:contentStatus/>
</cp:coreProperties>
</file>